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kas\Downloads\"/>
    </mc:Choice>
  </mc:AlternateContent>
  <xr:revisionPtr revIDLastSave="0" documentId="13_ncr:1_{39037759-A2C2-46DB-90E6-C97FA7800986}" xr6:coauthVersionLast="47" xr6:coauthVersionMax="47" xr10:uidLastSave="{00000000-0000-0000-0000-000000000000}"/>
  <bookViews>
    <workbookView xWindow="-105" yWindow="0" windowWidth="19410" windowHeight="15585" xr2:uid="{42E1144B-549E-4BBF-A1F1-C44FF3FCE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/>
  <c r="H54" i="1"/>
  <c r="I55" i="1" s="1"/>
  <c r="H53" i="1"/>
  <c r="I53" i="1" s="1"/>
  <c r="E32" i="1"/>
  <c r="E27" i="1"/>
  <c r="E29" i="1"/>
  <c r="D50" i="1"/>
  <c r="D10" i="1"/>
</calcChain>
</file>

<file path=xl/sharedStrings.xml><?xml version="1.0" encoding="utf-8"?>
<sst xmlns="http://schemas.openxmlformats.org/spreadsheetml/2006/main" count="108" uniqueCount="98">
  <si>
    <t>Breadboards</t>
  </si>
  <si>
    <t>Insulation Stripper</t>
  </si>
  <si>
    <t>Wire cutters</t>
  </si>
  <si>
    <t>1k Resistor</t>
  </si>
  <si>
    <t>10k Resistor</t>
  </si>
  <si>
    <t>100k Resistor</t>
  </si>
  <si>
    <t>470 Resistor</t>
  </si>
  <si>
    <t>1m Resistor</t>
  </si>
  <si>
    <t>1MΩ potentiometer</t>
  </si>
  <si>
    <t>China</t>
  </si>
  <si>
    <t>Non-China</t>
  </si>
  <si>
    <t>0.01µF capacitor</t>
  </si>
  <si>
    <t>0.1µF capacitor</t>
  </si>
  <si>
    <t>1µF capacitor</t>
  </si>
  <si>
    <t>555 timer IC (NE555P DIP-8)</t>
  </si>
  <si>
    <t>74LS00 (Quad NAND gate)</t>
  </si>
  <si>
    <t>74LS02 (Quad NOR gate)</t>
  </si>
  <si>
    <t>74LS04 (Hex inverter)</t>
  </si>
  <si>
    <t>74LS08 (Quad AND gate)</t>
  </si>
  <si>
    <t>74LS32 (Quad OR gate)</t>
  </si>
  <si>
    <t xml:space="preserve">74LS107 (Dual JK flip-flop) On video, it has chip with other pinout 74LS107 </t>
  </si>
  <si>
    <t>74LS86 (Quad XOR gate)</t>
  </si>
  <si>
    <t>74LS138 (3-to-8 line decoder)</t>
  </si>
  <si>
    <t>74LS139 (Dual 2-line to 4-line decoder)</t>
  </si>
  <si>
    <t>74LS157 (Quad 2-to-1 line data selector)</t>
  </si>
  <si>
    <t>74LS161 (4-bit synchronous binary counter)</t>
  </si>
  <si>
    <t>74LS173 (4-bit D-type register)</t>
  </si>
  <si>
    <t>74189 (64-bit random access memory)</t>
  </si>
  <si>
    <t>74LS245 (Octal bus transceiver)</t>
  </si>
  <si>
    <t>74LS273 (Octal D flip-flop)</t>
  </si>
  <si>
    <t>74LS283 (4-bit binary full adder)</t>
  </si>
  <si>
    <t>28C16 EEPROM</t>
  </si>
  <si>
    <t>Double-throw toggle switch</t>
  </si>
  <si>
    <t>Momentary 6mm tact switch</t>
  </si>
  <si>
    <t>8-position DIP switch</t>
  </si>
  <si>
    <t>4-position DIP switch</t>
  </si>
  <si>
    <t>Red LED</t>
  </si>
  <si>
    <t>Yellow LED</t>
  </si>
  <si>
    <t>Green LED</t>
  </si>
  <si>
    <t>Blue LED</t>
  </si>
  <si>
    <t>Common cathode 7-segment display</t>
  </si>
  <si>
    <t xml:space="preserve">Black 22 AWG 10m Tinned copper </t>
  </si>
  <si>
    <t xml:space="preserve">White 22 AWG 10m Tinned copper </t>
  </si>
  <si>
    <t xml:space="preserve">Blue  22 AWG 10m Tinned copper </t>
  </si>
  <si>
    <t xml:space="preserve">Purple 22 AWG 10m Tinned copper </t>
  </si>
  <si>
    <t xml:space="preserve">Brown 22 AWG 10m Tinned copper </t>
  </si>
  <si>
    <t xml:space="preserve">Yellow 22 AWG 10m Tinned copper </t>
  </si>
  <si>
    <t>Wires</t>
  </si>
  <si>
    <t>https://mou.sr/3Zvik8v</t>
  </si>
  <si>
    <t>https://mou.sr/4asrjMD</t>
  </si>
  <si>
    <t>Min</t>
  </si>
  <si>
    <t>In Kit</t>
  </si>
  <si>
    <t>Item</t>
  </si>
  <si>
    <t>Kaina perkant 2 komandom</t>
  </si>
  <si>
    <t>https://www.aliexpress.com/item/1005010462131222.html?spm=a2g0o.cart.0.0.6e0138da3yI6xz&amp;mp=1&amp;pdp_npi=6%40dis%21EUR%21EUR%205.40%21EUR%200.87%21%21EUR%200.87%21%21%21%402103834817725628379133520e5df9%2112000052491955928%21ct%21LT%21-1%21%211%210%21</t>
  </si>
  <si>
    <t>https://www.aliexpress.com/item/1005010462131222.html?spm=a2g0o.cart.0.0.6e0138da3yI6xz&amp;mp=1&amp;pdp_npi=6%40dis%21EUR%21EUR%205.36%21EUR%200.87%21%21EUR%200.87%21%21%21%402103834817725628379133520e5df9%2112000052491955904%21ct%21LT%21-1%21%211%210%21</t>
  </si>
  <si>
    <t>https://www.aliexpress.com/item/1005010462131222.html?spm=a2g0o.cart.0.0.6e0138da3yI6xz&amp;mp=1&amp;pdp_npi=6%40dis%21EUR%21EUR%205.45%21EUR%200.87%21%21EUR%200.87%21%21%21%402103834817725628379133520e5df9%2112000052491955880%21ct%21LT%21-1%21%211%210%21</t>
  </si>
  <si>
    <t>https://www.aliexpress.com/item/1005010462131222.html?spm=a2g0o.cart.0.0.6e0138da3yI6xz&amp;mp=1&amp;pdp_npi=6%40dis%21EUR%21EUR%205.67%21EUR%200.87%21%21EUR%200.87%21%21%21%402103834817725628379133520e5df9%2112000052491955936%21ct%21LT%21-1%21%211%210%21</t>
  </si>
  <si>
    <t>https://www.aliexpress.com/item/1005010462131222.html?spm=a2g0o.cart.0.0.6e0138da3yI6xz&amp;mp=1&amp;pdp_npi=6%40dis%21EUR%21EUR%205.40%21EUR%200.87%21%21EUR%200.87%21%21%21%402103834817725628379133520e5df9%2112000052491955856%21ct%21LT%21-1%21%211%210%21</t>
  </si>
  <si>
    <t>https://www.aliexpress.com/item/1005009882075493.html?spm=a2g0o.cart.0.0.6e0138daa9oAZ2&amp;mp=1&amp;pdp_npi=6%40dis%21EUR%21EUR%202.32%21EUR%200.87%21%21EUR%200.87%21%21%21%402103834817725629793727400e5df9%2112000050476861070%21ct%21LT%21-1%21%211%210%21</t>
  </si>
  <si>
    <t>Galbut? Nezinau ar pilnai atitinka</t>
  </si>
  <si>
    <t>https://www.aliexpress.com/item/1005007121552900.html?spm=a2g0o.cart.0.0.6e0138daa9oAZ2&amp;mp=1&amp;pdp_npi=6%40dis%21EUR%21EUR%200.97%21EUR%200.74%21%21EUR%200.74%21%21%21%402103834817725629793727400e5df9%2112000039472602862%21ct%21LT%21-1%21%211%210%21</t>
  </si>
  <si>
    <t>https://www.aliexpress.com/item/1005007121552900.html?spm=a2g0o.cart.0.0.6e0138daa9oAZ2&amp;mp=1&amp;pdp_npi=6%40dis%21EUR%21EUR%200.97%21EUR%200.74%21%21EUR%200.74%21%21%21%402103834817725629793727400e5df9%2112000039472602871%21ct%21LT%21-1%21%211%210%21</t>
  </si>
  <si>
    <t>https://www.aliexpress.com/item/1005007121552900.html?spm=a2g0o.cart.0.0.6e0138daa9oAZ2&amp;mp=1&amp;pdp_npi=6%40dis%21EUR%21EUR%201.08%21EUR%200.82%21%21EUR%200.82%21%21%21%402103834817725629793727400e5df9%2112000039472602877%21ct%21LT%21-1%21%211%210%21</t>
  </si>
  <si>
    <t>https://www.aliexpress.com/item/1005004532915413.html?spm=a2g0o.cart.0.0.6e0138daWPeXxm&amp;mp=1&amp;pdp_npi=6%40dis%21EUR%21EUR%202.94%21EUR%200.87%21%21EUR%200.87%21%21%21%402103834817725631977316165e5df9%2112000029499949673%21ct%21LT%21-1%21%211%210%21</t>
  </si>
  <si>
    <t>Dar gal patikrinti reiktu</t>
  </si>
  <si>
    <t>https://www.aliexpress.com/item/1005008597088871.html?spm=a2g0o.cart.0.0.6e0138day9WUSb&amp;mp=1&amp;pdp_npi=6%40dis%21EUR%21EUR%201.79%21EUR%201.79%21%21EUR%201.79%21%21%21%402103834817725634698066900e5df9%2112000045886554005%21ct%21LT%21-1%21%211%210%21</t>
  </si>
  <si>
    <t>https://www.aliexpress.com/item/1005008597088871.html?spm=a2g0o.cart.0.0.6e0138day9WUSb&amp;mp=1&amp;pdp_npi=6%40dis%21EUR%21EUR%201.79%21EUR%201.79%21%21EUR%201.79%21%21%21%402103834817725634698066900e5df9%2112000045886554006%21ct%21LT%21-1%21%211%210%21</t>
  </si>
  <si>
    <t>https://www.aliexpress.com/item/1005008597088871.html?spm=a2g0o.cart.0.0.6e0138day9WUSb&amp;mp=1&amp;pdp_npi=6%40dis%21EUR%21EUR%201.79%21EUR%201.79%21%21EUR%201.79%21%21%21%402103834817725634698066900e5df9%2112000045886554008%21ct%21LT%21-1%21%211%210%21</t>
  </si>
  <si>
    <t>https://www.aliexpress.com/item/1005008597088871.html?spm=a2g0o.cart.0.0.6e0138day9WUSb&amp;mp=1&amp;pdp_npi=6%40dis%21EUR%21EUR%201.79%21EUR%201.79%21%21EUR%201.79%21%21%21%402103834817725634698066900e5df9%2112000045886554010%21ct%21LT%21-1%21%211%210%21</t>
  </si>
  <si>
    <t>https://www.aliexpress.com/item/1005008597088871.html?spm=a2g0o.cart.0.0.6e0138day9WUSb&amp;mp=1&amp;pdp_npi=6%40dis%21EUR%21EUR%201.79%21EUR%201.79%21%21EUR%201.79%21%21%21%402103834817725634698066900e5df9%2112000045886554017%21ct%21LT%21-1%21%211%210%21</t>
  </si>
  <si>
    <t>https://www.aliexpress.com/item/1005007097274626.html?spm=a2g0o.cart.0.0.6e0138da5NSQTm&amp;mp=1&amp;pdp_npi=6%40dis%21EUR%21EUR%201.82%21EUR%200.87%21%21EUR%200.87%21%21%21%402103834817725637465397157e5df9%2112000039392761876%21ct%21LT%21-1%21%211%210%21&amp;pdp_ext_f=%7B%22cart2PdpParams%22%3A%7B%22pdpBusinessMode%22%3A%22retail%22%7D%7D</t>
  </si>
  <si>
    <t>Cia gal butu kits variants irgi</t>
  </si>
  <si>
    <t>https://www.aliexpress.com/item/1005004557749624.html?spm=a2g0o.cart.0.0.6e0138daLJ2D8n&amp;mp=1&amp;pdp_npi=6%40dis%21EUR%21EUR%201.82%21EUR%200.87%21%21EUR%200.87%21%21%21%402103834817725637864298310e5df9%2112000029605075272%21ct%21LT%21-1%21%211%210%21</t>
  </si>
  <si>
    <t>https://www.aliexpress.com/item/1005006778973631.html?spm=a2g0o.cart.0.0.6e0138dae0yhJP&amp;mp=1&amp;pdp_npi=6%40dis%21EUR%21EUR%205.37%21EUR%200.87%21%21EUR%200.87%21%21%21%402103834817725638255661771e5df9%2112000038270036895%21ct%21LT%21-1%21%211%210%21</t>
  </si>
  <si>
    <t>https://www.aliexpress.com/item/1005007320452170.html?spm=a2g0o.cart.0.0.6e0138daUthSNi&amp;mp=1&amp;pdp_npi=6%40dis%21EUR%21EUR%202.45%21EUR%200.87%21%21EUR%200.87%21%21%21%402103834817725638818603828e5df9%2112000040254474512%21ct%21LT%21-1%21%211%210%21&amp;pdp_ext_f=%7B%22cart2PdpParams%22%3A%7B%22pdpBusinessMode%22%3A%22retail%22%7D%7D</t>
  </si>
  <si>
    <t>https://www.aliexpress.com/item/1005004780911444.html?spm=a2g0o.cart.0.0.6e0138daVxHiuy&amp;mp=1&amp;pdp_npi=6%40dis%21EUR%21EUR%202.08%21EUR%200.87%21%21EUR%200.87%21%21%21%402103834817725639118854911e5df9%2112000030461342167%21ct%21LT%21-1%21%211%210%21&amp;pdp_ext_f=%7B%22cart2PdpParams%22%3A%7B%22pdpBusinessMode%22%3A%22retail%22%7D%7D</t>
  </si>
  <si>
    <t>https://www.aliexpress.com/item/1005007174711403.html?spm=a2g0o.cart.0.0.6e0138daf6jYUh&amp;mp=1&amp;pdp_npi=6%40dis%21EUR%21EUR%205.69%21EUR%201.53%21%21EUR%201.53%21%21%21%402103834817725639338275719e5df9%2112000039702810085%21ct%21LT%21-1%21%211%210%21</t>
  </si>
  <si>
    <t>https://www.aliexpress.com/item/33042433139.html?spm=a2g0o.cart.0.0.6e0138dadJOLYq&amp;mp=1&amp;pdp_npi=6%40dis%21EUR%21EUR%203.32%21EUR%200.87%21%21EUR%200.87%21%21%21%402103834817725639947117933e5df9%2167331079067%21ct%21LT%21-1%21%211%210%21&amp;pdp_ext_f=%7B%22cart2PdpParams%22%3A%7B%22pdpBusinessMode%22%3A%22retail%22%7D%7D</t>
  </si>
  <si>
    <t>https://www.aliexpress.com/item/1005004429815106.html?spm=a2g0o.cart.0.0.6e0138daiUDDU8&amp;mp=1&amp;pdp_npi=6%40dis%21EUR%21EUR%202.39%21EUR%202.25%21%21EUR%202.25%21%21%21%402103834817725642276548604e5df9%2112000029157382089%21ct%21LT%21-1%21%211%210%21</t>
  </si>
  <si>
    <t>https://www.aliexpress.com/item/1005006779133531.html?spm=a2g0o.cart.0.0.6e0138dal6NxlU&amp;mp=1&amp;pdp_npi=6%40dis%21EUR%21EUR%206.72%21EUR%200.87%21%21EUR%200.87%21%21%21%402103834817725642591651875e5df9%2112000038270838411%21ct%21LT%21-1%21%211%210%21</t>
  </si>
  <si>
    <t>https://www.aliexpress.com/item/1005007167628224.html?spm=a2g0o.cart.0.0.6e0138dagrW3Ju&amp;mp=1&amp;pdp_npi=6%40dis%21EUR%21EUR%205.32%21EUR%201.35%21%21EUR%201.35%21%21%21%402103834817725643000793556e5df9%2112000039678226964%21ct%21LT%21-1%21%211%210%21</t>
  </si>
  <si>
    <t>https://www.aliexpress.com/item/33021512063.html?spm=a2g0o.cart.0.0.6e0138daWeZXu2&amp;mp=1&amp;pdp_npi=6%40dis%21EUR%21EUR%203.23%21EUR%200.87%21%21EUR%200.87%21%21%21%402103834817725643513965561e5df9%2167275940002%21ct%21LT%21-1%21%211%210%21&amp;pdp_ext_f=%7B%22cart2PdpParams%22%3A%7B%22pdpBusinessMode%22%3A%22retail%22%7D%7D</t>
  </si>
  <si>
    <t>https://www.aliexpress.com/item/1005008039069335.html?spm=a2g0o.cart.0.0.6e0138daRLIsuh&amp;mp=1&amp;pdp_npi=6%40dis%21EUR%21EUR%201.63%21EUR%201.63%21%21EUR%201.63%21%21%21%402103834817725644635661680e5df9%2112000043372133099%21ct%21LT%21-1%21%213%210%21</t>
  </si>
  <si>
    <t>https://www.aliexpress.com/item/1005010396621454.html?spm=a2g0o.cart.0.0.6e0138damodrir&amp;mp=1&amp;pdp_npi=6%40dis%21EUR%21EUR%204.35%21EUR%200.87%21%21EUR%200.87%21%21%21%402103834817725645783875281e5df9%2112000052611798183%21ct%21LT%21-1%21%211%210%21</t>
  </si>
  <si>
    <t>https://www.aliexpress.com/item/1005010396621454.html?spm=a2g0o.cart.0.0.6e0138da4o0jsB&amp;mp=1&amp;pdp_npi=6%40dis%21EUR%21EUR%204.41%21EUR%200.87%21%21EUR%200.87%21%21%21%402103834817725646012256053e5df9%2112000052611798184%21ct%21LT%21-1%21%211%210%21</t>
  </si>
  <si>
    <t>https://www.aliexpress.com/item/1005010396621454.html?spm=a2g0o.cart.0.0.6e0138da4o0jsB&amp;mp=1&amp;pdp_npi=6%40dis%21EUR%21EUR%204.50%21EUR%200.87%21%21EUR%200.87%21%21%21%402103834817725646012256053e5df9%2112000052611798186%21ct%21LT%21-1%21%211%210%21</t>
  </si>
  <si>
    <t>https://www.aliexpress.com/item/1005010396621454.html?spm=a2g0o.cart.0.0.6e0138da4o0jsB&amp;mp=1&amp;pdp_npi=6%40dis%21EUR%21EUR%204.33%21EUR%200.87%21%21EUR%200.87%21%21%21%402103834817725646012256053e5df9%2112000052611798185%21ct%21LT%21-1%21%211%210%21</t>
  </si>
  <si>
    <t>https://www.aliexpress.com/item/1005004362200093.html?spm=a2g0o.cart.0.0.2f8b38daGpxu9T&amp;mp=1&amp;pdp_npi=6%40dis%21EUR%21EUR%203.04%21EUR%200.87%21%21EUR%200.87%21%21%21%40210384b917725657566192624ebb41%2112000028909141626%21ct%21LT%21-1%21%211%210%21</t>
  </si>
  <si>
    <t>galbut siuntimas</t>
  </si>
  <si>
    <t>APR 4</t>
  </si>
  <si>
    <t>Bisk keistas sitas - APR 4</t>
  </si>
  <si>
    <t>Visa</t>
  </si>
  <si>
    <t>/ 4</t>
  </si>
  <si>
    <t>https://www.aliexpress.com/item/1005005866801107.html?spm=a2g0o.cart.0.0.6cd138dalg7L7I&amp;mp=1&amp;pdp_npi=6%40dis%21EUR%21EUR%202.20%21EUR%202.14%21%21EUR%202.14%21%21%21%402103890917728179842506237e5cc5%2112000034630526086%21ct%21LT%213925215405%21%211%210%21</t>
  </si>
  <si>
    <t>https://www.aliexpress.com/item/1005005866801107.html?spm=a2g0o.cart.0.0.6cd138dalg7L7I&amp;mp=1&amp;pdp_npi=6%40dis%21EUR%21EUR%201.97%21EUR%201.92%21%21EUR%201.92%21%21%21%402103890917728179842506237e5cc5%2112000034630526093%21ct%21LT%213925215405%21%211%210%21</t>
  </si>
  <si>
    <t>https://www.aliexpress.com/item/1005005532747780.html?spm=a2g0o.cart.0.0.6cd138dalg7L7I&amp;mp=1&amp;pdp_npi=6%40dis%21EUR%21EUR%202.00%21EUR%202.00%21%21EUR%202.00%21%21%21%402103890917728179842506237e5cc5%2112000038997082559%21ct%21LT%213925215405%21%211%210%21</t>
  </si>
  <si>
    <t>https://www.aliexpress.com/item/1005009651007753.html?spm=a2g0o.cart.0.0.6cd138dalg7L7I&amp;mp=1&amp;pdp_npi=6%40dis%21EUR%21EUR%205.15%21EUR%202.32%21%21EUR%202.32%21%21%21%402103890917728179842506237e5cc5%2112000049846856021%21ct%21LT%213925215405%21%211%210%21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</si>
</sst>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* #,##0.00\ [$€-427]_-;\-* #,##0.00\ [$€-427]_-;_-* &quot;-&quot;??\ [$€-427]_-;_-@_-"/>
  </numFmts>
  <fonts count="4" x14ac:knownFonts="1">
    <font>
      <sz val="11"/>
      <color theme="1"/>
      <name val="Aptos Narrow"/>
      <family val="2"/>
      <charset val="186"/>
      <scheme val="minor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AEAEA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1" fillId="2" borderId="1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165" fontId="0" fillId="2" borderId="0" xfId="0" applyNumberFormat="1" applyFill="1"/>
    <xf numFmtId="0" fontId="3" fillId="0" borderId="0" xfId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iexpress.com/item/1005008597088871.html?spm=a2g0o.cart.0.0.6e0138day9WUSb&amp;mp=1&amp;pdp_npi=6%40dis%21EUR%21EUR%201.79%21EUR%201.79%21%21EUR%201.79%21%21%21%402103834817725634698066900e5df9%2112000045886554008%21ct%21LT%21-1%21%211%210%21" TargetMode="External"/><Relationship Id="rId18" Type="http://schemas.openxmlformats.org/officeDocument/2006/relationships/hyperlink" Target="https://www.aliexpress.com/item/1005006778973631.html?spm=a2g0o.cart.0.0.6e0138dae0yhJP&amp;mp=1&amp;pdp_npi=6%40dis%21EUR%21EUR%205.37%21EUR%200.87%21%21EUR%200.87%21%21%21%402103834817725638255661771e5df9%2112000038270036895%21ct%21LT%21-1%21%211%210%21" TargetMode="External"/><Relationship Id="rId26" Type="http://schemas.openxmlformats.org/officeDocument/2006/relationships/hyperlink" Target="https://www.aliexpress.com/item/33021512063.html?spm=a2g0o.cart.0.0.6e0138daWeZXu2&amp;mp=1&amp;pdp_npi=6%40dis%21EUR%21EUR%203.23%21EUR%200.87%21%21EUR%200.87%21%21%21%402103834817725643513965561e5df9%2167275940002%21ct%21LT%21-1%21%211%210%21&amp;pdp_ext_f=%7B%22cart2PdpParams%22%3A%7B%22pdpBusinessMode%22%3A%22retail%22%7D%7D" TargetMode="External"/><Relationship Id="rId21" Type="http://schemas.openxmlformats.org/officeDocument/2006/relationships/hyperlink" Target="https://www.aliexpress.com/item/1005007174711403.html?spm=a2g0o.cart.0.0.6e0138daf6jYUh&amp;mp=1&amp;pdp_npi=6%40dis%21EUR%21EUR%205.69%21EUR%201.53%21%21EUR%201.53%21%21%21%402103834817725639338275719e5df9%2112000039702810085%21ct%21LT%21-1%21%211%210%21" TargetMode="External"/><Relationship Id="rId34" Type="http://schemas.openxmlformats.org/officeDocument/2006/relationships/hyperlink" Target="https://www.aliexpress.com/item/1005005866801107.html?spm=a2g0o.cart.0.0.6cd138dalg7L7I&amp;mp=1&amp;pdp_npi=6%40dis%21EUR%21EUR%201.97%21EUR%201.92%21%21EUR%201.92%21%21%21%402103890917728179842506237e5cc5%2112000034630526093%21ct%21LT%213925215405%21%211%210%21" TargetMode="External"/><Relationship Id="rId7" Type="http://schemas.openxmlformats.org/officeDocument/2006/relationships/hyperlink" Target="https://www.aliexpress.com/item/1005007121552900.html?spm=a2g0o.cart.0.0.6e0138daa9oAZ2&amp;mp=1&amp;pdp_npi=6%40dis%21EUR%21EUR%200.97%21EUR%200.74%21%21EUR%200.74%21%21%21%402103834817725629793727400e5df9%2112000039472602862%21ct%21LT%21-1%21%211%210%21" TargetMode="External"/><Relationship Id="rId12" Type="http://schemas.openxmlformats.org/officeDocument/2006/relationships/hyperlink" Target="https://www.aliexpress.com/item/1005008597088871.html?spm=a2g0o.cart.0.0.6e0138day9WUSb&amp;mp=1&amp;pdp_npi=6%40dis%21EUR%21EUR%201.79%21EUR%201.79%21%21EUR%201.79%21%21%21%402103834817725634698066900e5df9%2112000045886554006%21ct%21LT%21-1%21%211%210%21" TargetMode="External"/><Relationship Id="rId17" Type="http://schemas.openxmlformats.org/officeDocument/2006/relationships/hyperlink" Target="https://www.aliexpress.com/item/1005004557749624.html?spm=a2g0o.cart.0.0.6e0138daLJ2D8n&amp;mp=1&amp;pdp_npi=6%40dis%21EUR%21EUR%201.82%21EUR%200.87%21%21EUR%200.87%21%21%21%402103834817725637864298310e5df9%2112000029605075272%21ct%21LT%21-1%21%211%210%21" TargetMode="External"/><Relationship Id="rId25" Type="http://schemas.openxmlformats.org/officeDocument/2006/relationships/hyperlink" Target="https://www.aliexpress.com/item/1005007167628224.html?spm=a2g0o.cart.0.0.6e0138dagrW3Ju&amp;mp=1&amp;pdp_npi=6%40dis%21EUR%21EUR%205.32%21EUR%201.35%21%21EUR%201.35%21%21%21%402103834817725643000793556e5df9%2112000039678226964%21ct%21LT%21-1%21%211%210%21" TargetMode="External"/><Relationship Id="rId33" Type="http://schemas.openxmlformats.org/officeDocument/2006/relationships/hyperlink" Target="https://www.aliexpress.com/item/1005005866801107.html?spm=a2g0o.cart.0.0.6cd138dalg7L7I&amp;mp=1&amp;pdp_npi=6%40dis%21EUR%21EUR%202.20%21EUR%202.14%21%21EUR%202.14%21%21%21%402103890917728179842506237e5cc5%2112000034630526086%21ct%21LT%213925215405%21%211%210%21" TargetMode="External"/><Relationship Id="rId2" Type="http://schemas.openxmlformats.org/officeDocument/2006/relationships/hyperlink" Target="https://www.aliexpress.com/item/1005010462131222.html?spm=a2g0o.cart.0.0.6e0138da3yI6xz&amp;mp=1&amp;pdp_npi=6%40dis%21EUR%21EUR%205.36%21EUR%200.87%21%21EUR%200.87%21%21%21%402103834817725628379133520e5df9%2112000052491955904%21ct%21LT%21-1%21%211%210%21" TargetMode="External"/><Relationship Id="rId16" Type="http://schemas.openxmlformats.org/officeDocument/2006/relationships/hyperlink" Target="https://www.aliexpress.com/item/1005007097274626.html?spm=a2g0o.cart.0.0.6e0138da5NSQTm&amp;mp=1&amp;pdp_npi=6%40dis%21EUR%21EUR%201.82%21EUR%200.87%21%21EUR%200.87%21%21%21%402103834817725637465397157e5df9%2112000039392761876%21ct%21LT%21-1%21%211%210%21&amp;pdp_ext_f=%7B%22cart2PdpParams%22%3A%7B%22pdpBusinessMode%22%3A%22retail%22%7D%7D" TargetMode="External"/><Relationship Id="rId20" Type="http://schemas.openxmlformats.org/officeDocument/2006/relationships/hyperlink" Target="https://www.aliexpress.com/item/1005004780911444.html?spm=a2g0o.cart.0.0.6e0138daVxHiuy&amp;mp=1&amp;pdp_npi=6%40dis%21EUR%21EUR%202.08%21EUR%200.87%21%21EUR%200.87%21%21%21%402103834817725639118854911e5df9%2112000030461342167%21ct%21LT%21-1%21%211%210%21&amp;pdp_ext_f=%7B%22cart2PdpParams%22%3A%7B%22pdpBusinessMode%22%3A%22retail%22%7D%7D" TargetMode="External"/><Relationship Id="rId29" Type="http://schemas.openxmlformats.org/officeDocument/2006/relationships/hyperlink" Target="https://www.aliexpress.com/item/1005010396621454.html?spm=a2g0o.cart.0.0.6e0138da4o0jsB&amp;mp=1&amp;pdp_npi=6%40dis%21EUR%21EUR%204.41%21EUR%200.87%21%21EUR%200.87%21%21%21%402103834817725646012256053e5df9%2112000052611798184%21ct%21LT%21-1%21%211%210%21" TargetMode="External"/><Relationship Id="rId1" Type="http://schemas.openxmlformats.org/officeDocument/2006/relationships/hyperlink" Target="https://www.aliexpress.com/item/1005010462131222.html?spm=a2g0o.cart.0.0.6e0138da3yI6xz&amp;mp=1&amp;pdp_npi=6%40dis%21EUR%21EUR%205.40%21EUR%200.87%21%21EUR%200.87%21%21%21%402103834817725628379133520e5df9%2112000052491955928%21ct%21LT%21-1%21%211%210%21" TargetMode="External"/><Relationship Id="rId6" Type="http://schemas.openxmlformats.org/officeDocument/2006/relationships/hyperlink" Target="https://www.aliexpress.com/item/1005009882075493.html?spm=a2g0o.cart.0.0.6e0138daa9oAZ2&amp;mp=1&amp;pdp_npi=6%40dis%21EUR%21EUR%202.32%21EUR%200.87%21%21EUR%200.87%21%21%21%402103834817725629793727400e5df9%2112000050476861070%21ct%21LT%21-1%21%211%210%21" TargetMode="External"/><Relationship Id="rId11" Type="http://schemas.openxmlformats.org/officeDocument/2006/relationships/hyperlink" Target="https://www.aliexpress.com/item/1005008597088871.html?spm=a2g0o.cart.0.0.6e0138day9WUSb&amp;mp=1&amp;pdp_npi=6%40dis%21EUR%21EUR%201.79%21EUR%201.79%21%21EUR%201.79%21%21%21%402103834817725634698066900e5df9%2112000045886554005%21ct%21LT%21-1%21%211%210%21" TargetMode="External"/><Relationship Id="rId24" Type="http://schemas.openxmlformats.org/officeDocument/2006/relationships/hyperlink" Target="https://www.aliexpress.com/item/1005006779133531.html?spm=a2g0o.cart.0.0.6e0138dal6NxlU&amp;mp=1&amp;pdp_npi=6%40dis%21EUR%21EUR%206.72%21EUR%200.87%21%21EUR%200.87%21%21%21%402103834817725642591651875e5df9%2112000038270838411%21ct%21LT%21-1%21%211%210%21" TargetMode="External"/><Relationship Id="rId32" Type="http://schemas.openxmlformats.org/officeDocument/2006/relationships/hyperlink" Target="https://www.aliexpress.com/item/1005004362200093.html?spm=a2g0o.cart.0.0.2f8b38daGpxu9T&amp;mp=1&amp;pdp_npi=6%40dis%21EUR%21EUR%203.04%21EUR%200.87%21%21EUR%200.87%21%21%21%40210384b917725657566192624ebb41%2112000028909141626%21ct%21LT%21-1%21%211%210%21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com/item/1005010462131222.html?spm=a2g0o.cart.0.0.6e0138da3yI6xz&amp;mp=1&amp;pdp_npi=6%40dis%21EUR%21EUR%205.40%21EUR%200.87%21%21EUR%200.87%21%21%21%402103834817725628379133520e5df9%2112000052491955856%21ct%21LT%21-1%21%211%210%21" TargetMode="External"/><Relationship Id="rId15" Type="http://schemas.openxmlformats.org/officeDocument/2006/relationships/hyperlink" Target="https://www.aliexpress.com/item/1005008597088871.html?spm=a2g0o.cart.0.0.6e0138day9WUSb&amp;mp=1&amp;pdp_npi=6%40dis%21EUR%21EUR%201.79%21EUR%201.79%21%21EUR%201.79%21%21%21%402103834817725634698066900e5df9%2112000045886554017%21ct%21LT%21-1%21%211%210%21" TargetMode="External"/><Relationship Id="rId23" Type="http://schemas.openxmlformats.org/officeDocument/2006/relationships/hyperlink" Target="https://www.aliexpress.com/item/1005004429815106.html?spm=a2g0o.cart.0.0.6e0138daiUDDU8&amp;mp=1&amp;pdp_npi=6%40dis%21EUR%21EUR%202.39%21EUR%202.25%21%21EUR%202.25%21%21%21%402103834817725642276548604e5df9%2112000029157382089%21ct%21LT%21-1%21%211%210%21" TargetMode="External"/><Relationship Id="rId28" Type="http://schemas.openxmlformats.org/officeDocument/2006/relationships/hyperlink" Target="https://www.aliexpress.com/item/1005010396621454.html?spm=a2g0o.cart.0.0.6e0138damodrir&amp;mp=1&amp;pdp_npi=6%40dis%21EUR%21EUR%204.35%21EUR%200.87%21%21EUR%200.87%21%21%21%402103834817725645783875281e5df9%2112000052611798183%21ct%21LT%21-1%21%211%210%21" TargetMode="External"/><Relationship Id="rId36" Type="http://schemas.openxmlformats.org/officeDocument/2006/relationships/hyperlink" Target="https://www.aliexpress.com/item/1005009651007753.html?spm=a2g0o.cart.0.0.6cd138dalg7L7I&amp;mp=1&amp;pdp_npi=6%40dis%21EUR%21EUR%205.15%21EUR%202.32%21%21EUR%202.32%21%21%21%402103890917728179842506237e5cc5%2112000049846856021%21ct%21LT%213925215405%21%211%210%21" TargetMode="External"/><Relationship Id="rId10" Type="http://schemas.openxmlformats.org/officeDocument/2006/relationships/hyperlink" Target="https://www.aliexpress.com/item/1005004532915413.html?spm=a2g0o.cart.0.0.6e0138daWPeXxm&amp;mp=1&amp;pdp_npi=6%40dis%21EUR%21EUR%202.94%21EUR%200.87%21%21EUR%200.87%21%21%21%402103834817725631977316165e5df9%2112000029499949673%21ct%21LT%21-1%21%211%210%21" TargetMode="External"/><Relationship Id="rId19" Type="http://schemas.openxmlformats.org/officeDocument/2006/relationships/hyperlink" Target="https://www.aliexpress.com/item/1005007320452170.html?spm=a2g0o.cart.0.0.6e0138daUthSNi&amp;mp=1&amp;pdp_npi=6%40dis%21EUR%21EUR%202.45%21EUR%200.87%21%21EUR%200.87%21%21%21%402103834817725638818603828e5df9%2112000040254474512%21ct%21LT%21-1%21%211%210%21&amp;pdp_ext_f=%7B%22cart2PdpParams%22%3A%7B%22pdpBusinessMode%22%3A%22retail%22%7D%7D" TargetMode="External"/><Relationship Id="rId31" Type="http://schemas.openxmlformats.org/officeDocument/2006/relationships/hyperlink" Target="https://www.aliexpress.com/item/1005010396621454.html?spm=a2g0o.cart.0.0.6e0138da4o0jsB&amp;mp=1&amp;pdp_npi=6%40dis%21EUR%21EUR%204.33%21EUR%200.87%21%21EUR%200.87%21%21%21%402103834817725646012256053e5df9%2112000052611798185%21ct%21LT%21-1%21%211%210%21" TargetMode="External"/><Relationship Id="rId4" Type="http://schemas.openxmlformats.org/officeDocument/2006/relationships/hyperlink" Target="https://www.aliexpress.com/item/1005010462131222.html?spm=a2g0o.cart.0.0.6e0138da3yI6xz&amp;mp=1&amp;pdp_npi=6%40dis%21EUR%21EUR%205.67%21EUR%200.87%21%21EUR%200.87%21%21%21%402103834817725628379133520e5df9%2112000052491955936%21ct%21LT%21-1%21%211%210%21" TargetMode="External"/><Relationship Id="rId9" Type="http://schemas.openxmlformats.org/officeDocument/2006/relationships/hyperlink" Target="https://www.aliexpress.com/item/1005007121552900.html?spm=a2g0o.cart.0.0.6e0138daa9oAZ2&amp;mp=1&amp;pdp_npi=6%40dis%21EUR%21EUR%201.08%21EUR%200.82%21%21EUR%200.82%21%21%21%402103834817725629793727400e5df9%2112000039472602877%21ct%21LT%21-1%21%211%210%21" TargetMode="External"/><Relationship Id="rId14" Type="http://schemas.openxmlformats.org/officeDocument/2006/relationships/hyperlink" Target="https://www.aliexpress.com/item/1005008597088871.html?spm=a2g0o.cart.0.0.6e0138day9WUSb&amp;mp=1&amp;pdp_npi=6%40dis%21EUR%21EUR%201.79%21EUR%201.79%21%21EUR%201.79%21%21%21%402103834817725634698066900e5df9%2112000045886554010%21ct%21LT%21-1%21%211%210%21" TargetMode="External"/><Relationship Id="rId22" Type="http://schemas.openxmlformats.org/officeDocument/2006/relationships/hyperlink" Target="https://www.aliexpress.com/item/33042433139.html?spm=a2g0o.cart.0.0.6e0138dadJOLYq&amp;mp=1&amp;pdp_npi=6%40dis%21EUR%21EUR%203.32%21EUR%200.87%21%21EUR%200.87%21%21%21%402103834817725639947117933e5df9%2167331079067%21ct%21LT%21-1%21%211%210%21&amp;pdp_ext_f=%7B%22cart2PdpParams%22%3A%7B%22pdpBusinessMode%22%3A%22retail%22%7D%7D" TargetMode="External"/><Relationship Id="rId27" Type="http://schemas.openxmlformats.org/officeDocument/2006/relationships/hyperlink" Target="https://www.aliexpress.com/item/1005008039069335.html?spm=a2g0o.cart.0.0.6e0138daRLIsuh&amp;mp=1&amp;pdp_npi=6%40dis%21EUR%21EUR%201.63%21EUR%201.63%21%21EUR%201.63%21%21%21%402103834817725644635661680e5df9%2112000043372133099%21ct%21LT%21-1%21%213%210%21" TargetMode="External"/><Relationship Id="rId30" Type="http://schemas.openxmlformats.org/officeDocument/2006/relationships/hyperlink" Target="https://www.aliexpress.com/item/1005010396621454.html?spm=a2g0o.cart.0.0.6e0138da4o0jsB&amp;mp=1&amp;pdp_npi=6%40dis%21EUR%21EUR%204.50%21EUR%200.87%21%21EUR%200.87%21%21%21%402103834817725646012256053e5df9%2112000052611798186%21ct%21LT%21-1%21%211%210%21" TargetMode="External"/><Relationship Id="rId35" Type="http://schemas.openxmlformats.org/officeDocument/2006/relationships/hyperlink" Target="https://www.aliexpress.com/item/1005005532747780.html?spm=a2g0o.cart.0.0.6cd138dalg7L7I&amp;mp=1&amp;pdp_npi=6%40dis%21EUR%21EUR%202.00%21EUR%202.00%21%21EUR%202.00%21%21%21%402103890917728179842506237e5cc5%2112000038997082559%21ct%21LT%213925215405%21%211%210%21" TargetMode="External"/><Relationship Id="rId8" Type="http://schemas.openxmlformats.org/officeDocument/2006/relationships/hyperlink" Target="https://www.aliexpress.com/item/1005007121552900.html?spm=a2g0o.cart.0.0.6e0138daa9oAZ2&amp;mp=1&amp;pdp_npi=6%40dis%21EUR%21EUR%200.97%21EUR%200.74%21%21EUR%200.74%21%21%21%402103834817725629793727400e5df9%2112000039472602871%21ct%21LT%21-1%21%211%210%21" TargetMode="External"/><Relationship Id="rId3" Type="http://schemas.openxmlformats.org/officeDocument/2006/relationships/hyperlink" Target="https://www.aliexpress.com/item/1005010462131222.html?spm=a2g0o.cart.0.0.6e0138da3yI6xz&amp;mp=1&amp;pdp_npi=6%40dis%21EUR%21EUR%205.45%21EUR%200.87%21%21EUR%200.87%21%21%21%402103834817725628379133520e5df9%2112000052491955880%21ct%21LT%21-1%21%211%210%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AA18-D7B9-432E-BC46-DD4F85D360CD}">
  <dimension ref="A1:L55"/>
  <sheetViews>
    <sheetView tabSelected="1" topLeftCell="A32" zoomScale="85" zoomScaleNormal="85" workbookViewId="0">
      <selection activeCell="I53" sqref="I53"/>
    </sheetView>
  </sheetViews>
  <sheetFormatPr defaultRowHeight="15" x14ac:dyDescent="0.25"/>
  <cols>
    <col min="1" max="1" width="8.28515625" customWidth="1"/>
    <col min="2" max="2" width="8.42578125" customWidth="1"/>
    <col min="3" max="3" width="42.7109375" bestFit="1" customWidth="1"/>
    <col min="5" max="5" width="10.5703125" bestFit="1" customWidth="1"/>
    <col min="6" max="6" width="23.7109375" customWidth="1"/>
    <col min="7" max="7" width="21" style="13" customWidth="1"/>
    <col min="9" max="9" width="15" bestFit="1" customWidth="1"/>
    <col min="10" max="10" width="14.140625" bestFit="1" customWidth="1"/>
    <col min="11" max="11" width="15.28515625" bestFit="1" customWidth="1"/>
  </cols>
  <sheetData>
    <row r="1" spans="1:12" x14ac:dyDescent="0.25">
      <c r="A1" s="4" t="s">
        <v>50</v>
      </c>
      <c r="B1" s="4" t="s">
        <v>51</v>
      </c>
      <c r="C1" s="4" t="s">
        <v>52</v>
      </c>
      <c r="D1" s="4" t="s">
        <v>9</v>
      </c>
      <c r="E1" s="4" t="s">
        <v>10</v>
      </c>
      <c r="F1" s="5"/>
    </row>
    <row r="2" spans="1:12" x14ac:dyDescent="0.25">
      <c r="A2">
        <v>14</v>
      </c>
      <c r="C2" t="s">
        <v>0</v>
      </c>
      <c r="D2" s="3">
        <v>46.44</v>
      </c>
      <c r="E2" s="1">
        <v>102.72</v>
      </c>
      <c r="F2" t="s">
        <v>48</v>
      </c>
    </row>
    <row r="3" spans="1:12" x14ac:dyDescent="0.25">
      <c r="A3">
        <v>1</v>
      </c>
      <c r="C3" t="s">
        <v>1</v>
      </c>
      <c r="D3" s="2"/>
      <c r="E3" s="1"/>
      <c r="I3" s="1"/>
    </row>
    <row r="4" spans="1:12" x14ac:dyDescent="0.25">
      <c r="A4">
        <v>1</v>
      </c>
      <c r="C4" t="s">
        <v>2</v>
      </c>
      <c r="D4" s="2"/>
      <c r="E4" s="1"/>
      <c r="I4" s="1"/>
    </row>
    <row r="5" spans="1:12" x14ac:dyDescent="0.25">
      <c r="A5">
        <v>10</v>
      </c>
      <c r="B5">
        <v>100</v>
      </c>
      <c r="C5" s="8" t="s">
        <v>3</v>
      </c>
      <c r="D5" s="2">
        <v>0.85</v>
      </c>
      <c r="E5" s="1"/>
      <c r="H5" s="12" t="s">
        <v>54</v>
      </c>
    </row>
    <row r="6" spans="1:12" x14ac:dyDescent="0.25">
      <c r="A6">
        <v>9</v>
      </c>
      <c r="B6">
        <v>100</v>
      </c>
      <c r="C6" s="8" t="s">
        <v>4</v>
      </c>
      <c r="D6" s="2">
        <v>0.85</v>
      </c>
      <c r="E6" s="1"/>
      <c r="H6" s="12" t="s">
        <v>55</v>
      </c>
    </row>
    <row r="7" spans="1:12" x14ac:dyDescent="0.25">
      <c r="A7">
        <v>1</v>
      </c>
      <c r="B7">
        <v>100</v>
      </c>
      <c r="C7" s="11" t="s">
        <v>5</v>
      </c>
      <c r="D7" s="2">
        <v>0.85</v>
      </c>
      <c r="E7" s="1"/>
      <c r="H7" s="12" t="s">
        <v>56</v>
      </c>
    </row>
    <row r="8" spans="1:12" x14ac:dyDescent="0.25">
      <c r="A8">
        <v>24</v>
      </c>
      <c r="B8">
        <v>100</v>
      </c>
      <c r="C8" s="11" t="s">
        <v>6</v>
      </c>
      <c r="D8" s="2">
        <v>0.85</v>
      </c>
      <c r="E8" s="1"/>
      <c r="H8" s="12" t="s">
        <v>57</v>
      </c>
    </row>
    <row r="9" spans="1:12" x14ac:dyDescent="0.25">
      <c r="A9">
        <v>1</v>
      </c>
      <c r="B9">
        <v>100</v>
      </c>
      <c r="C9" s="11" t="s">
        <v>7</v>
      </c>
      <c r="D9" s="2">
        <v>0.85</v>
      </c>
      <c r="E9" s="1"/>
      <c r="H9" s="12" t="s">
        <v>58</v>
      </c>
      <c r="L9" s="1"/>
    </row>
    <row r="10" spans="1:12" ht="30" x14ac:dyDescent="0.25">
      <c r="A10">
        <v>1</v>
      </c>
      <c r="B10">
        <v>2</v>
      </c>
      <c r="C10" s="9" t="s">
        <v>8</v>
      </c>
      <c r="D10" s="2">
        <f>0.85*2</f>
        <v>1.7</v>
      </c>
      <c r="E10" s="1">
        <v>7.64</v>
      </c>
      <c r="F10" t="s">
        <v>49</v>
      </c>
      <c r="G10" s="13" t="s">
        <v>60</v>
      </c>
      <c r="H10" s="12" t="s">
        <v>59</v>
      </c>
    </row>
    <row r="11" spans="1:12" ht="15.75" thickBot="1" x14ac:dyDescent="0.3">
      <c r="A11">
        <v>6</v>
      </c>
      <c r="B11">
        <v>100</v>
      </c>
      <c r="C11" s="10" t="s">
        <v>11</v>
      </c>
      <c r="D11" s="2">
        <v>0.77</v>
      </c>
      <c r="E11" s="1"/>
      <c r="G11" s="13" t="s">
        <v>90</v>
      </c>
      <c r="H11" s="12" t="s">
        <v>61</v>
      </c>
    </row>
    <row r="12" spans="1:12" x14ac:dyDescent="0.25">
      <c r="A12" s="2"/>
      <c r="B12" s="2"/>
      <c r="C12" s="11"/>
      <c r="D12" s="2"/>
      <c r="E12" s="1"/>
    </row>
    <row r="13" spans="1:12" x14ac:dyDescent="0.25">
      <c r="A13">
        <v>16</v>
      </c>
      <c r="B13">
        <v>100</v>
      </c>
      <c r="C13" s="11" t="s">
        <v>12</v>
      </c>
      <c r="D13" s="2">
        <v>0.77</v>
      </c>
      <c r="E13" s="1"/>
      <c r="G13" s="13" t="s">
        <v>90</v>
      </c>
      <c r="H13" s="12" t="s">
        <v>62</v>
      </c>
    </row>
    <row r="14" spans="1:12" x14ac:dyDescent="0.25">
      <c r="A14">
        <v>1</v>
      </c>
      <c r="B14">
        <v>100</v>
      </c>
      <c r="C14" s="11" t="s">
        <v>13</v>
      </c>
      <c r="D14" s="2">
        <v>0.87</v>
      </c>
      <c r="E14" s="1"/>
      <c r="G14" s="13" t="s">
        <v>90</v>
      </c>
      <c r="H14" s="12" t="s">
        <v>63</v>
      </c>
    </row>
    <row r="15" spans="1:12" ht="30.75" thickBot="1" x14ac:dyDescent="0.3">
      <c r="A15">
        <v>4</v>
      </c>
      <c r="B15">
        <v>10</v>
      </c>
      <c r="C15" s="7" t="s">
        <v>14</v>
      </c>
      <c r="D15" s="2">
        <v>2.79</v>
      </c>
      <c r="E15" s="1"/>
      <c r="G15" s="13" t="s">
        <v>65</v>
      </c>
      <c r="H15" s="12" t="s">
        <v>64</v>
      </c>
    </row>
    <row r="16" spans="1:12" x14ac:dyDescent="0.25">
      <c r="A16">
        <v>2</v>
      </c>
      <c r="B16">
        <v>10</v>
      </c>
      <c r="C16" s="8" t="s">
        <v>15</v>
      </c>
      <c r="D16" s="2">
        <v>1.79</v>
      </c>
      <c r="E16" s="1"/>
      <c r="G16" s="13" t="s">
        <v>89</v>
      </c>
      <c r="H16" s="12" t="s">
        <v>66</v>
      </c>
    </row>
    <row r="17" spans="1:8" x14ac:dyDescent="0.25">
      <c r="A17">
        <v>1</v>
      </c>
      <c r="B17">
        <v>10</v>
      </c>
      <c r="C17" s="8" t="s">
        <v>16</v>
      </c>
      <c r="D17" s="2">
        <v>1.79</v>
      </c>
      <c r="E17" s="1"/>
      <c r="G17" s="13" t="s">
        <v>89</v>
      </c>
      <c r="H17" s="12" t="s">
        <v>67</v>
      </c>
    </row>
    <row r="18" spans="1:8" x14ac:dyDescent="0.25">
      <c r="A18">
        <v>5</v>
      </c>
      <c r="B18">
        <v>10</v>
      </c>
      <c r="C18" s="8" t="s">
        <v>17</v>
      </c>
      <c r="D18" s="2">
        <v>1.79</v>
      </c>
      <c r="E18" s="1"/>
      <c r="G18" s="13" t="s">
        <v>89</v>
      </c>
      <c r="H18" s="12" t="s">
        <v>68</v>
      </c>
    </row>
    <row r="19" spans="1:8" x14ac:dyDescent="0.25">
      <c r="A19">
        <v>3</v>
      </c>
      <c r="B19">
        <v>10</v>
      </c>
      <c r="C19" s="8" t="s">
        <v>18</v>
      </c>
      <c r="D19" s="2">
        <v>1.79</v>
      </c>
      <c r="E19" s="1"/>
      <c r="G19" s="13" t="s">
        <v>89</v>
      </c>
      <c r="H19" s="12" t="s">
        <v>69</v>
      </c>
    </row>
    <row r="20" spans="1:8" x14ac:dyDescent="0.25">
      <c r="A20">
        <v>1</v>
      </c>
      <c r="B20">
        <v>10</v>
      </c>
      <c r="C20" s="8" t="s">
        <v>19</v>
      </c>
      <c r="D20" s="2">
        <v>1.79</v>
      </c>
      <c r="E20" s="1"/>
      <c r="G20" s="13" t="s">
        <v>89</v>
      </c>
      <c r="H20" s="12" t="s">
        <v>70</v>
      </c>
    </row>
    <row r="21" spans="1:8" ht="30" x14ac:dyDescent="0.25">
      <c r="A21">
        <v>1</v>
      </c>
      <c r="B21">
        <v>5</v>
      </c>
      <c r="C21" s="8" t="s">
        <v>20</v>
      </c>
      <c r="D21" s="2">
        <v>1.79</v>
      </c>
      <c r="G21" s="13" t="s">
        <v>72</v>
      </c>
      <c r="H21" s="12" t="s">
        <v>71</v>
      </c>
    </row>
    <row r="22" spans="1:8" x14ac:dyDescent="0.25">
      <c r="A22">
        <v>1</v>
      </c>
      <c r="B22">
        <v>10</v>
      </c>
      <c r="C22" s="8" t="s">
        <v>21</v>
      </c>
      <c r="D22" s="2">
        <v>1.79</v>
      </c>
      <c r="H22" s="12" t="s">
        <v>73</v>
      </c>
    </row>
    <row r="23" spans="1:8" x14ac:dyDescent="0.25">
      <c r="A23">
        <v>1</v>
      </c>
      <c r="B23">
        <v>10</v>
      </c>
      <c r="C23" s="8" t="s">
        <v>22</v>
      </c>
      <c r="D23" s="2">
        <v>1.75</v>
      </c>
      <c r="H23" s="12" t="s">
        <v>74</v>
      </c>
    </row>
    <row r="24" spans="1:8" x14ac:dyDescent="0.25">
      <c r="A24">
        <v>1</v>
      </c>
      <c r="B24">
        <v>10</v>
      </c>
      <c r="C24" s="8" t="s">
        <v>23</v>
      </c>
      <c r="D24" s="2">
        <v>2.41</v>
      </c>
      <c r="H24" s="12" t="s">
        <v>75</v>
      </c>
    </row>
    <row r="25" spans="1:8" x14ac:dyDescent="0.25">
      <c r="A25">
        <v>4</v>
      </c>
      <c r="B25">
        <v>10</v>
      </c>
      <c r="C25" s="8" t="s">
        <v>24</v>
      </c>
      <c r="D25" s="2">
        <v>2.0499999999999998</v>
      </c>
      <c r="H25" s="12" t="s">
        <v>76</v>
      </c>
    </row>
    <row r="26" spans="1:8" x14ac:dyDescent="0.25">
      <c r="A26">
        <v>2</v>
      </c>
      <c r="B26">
        <v>10</v>
      </c>
      <c r="C26" s="8" t="s">
        <v>25</v>
      </c>
      <c r="D26" s="2">
        <v>2.79</v>
      </c>
      <c r="H26" s="12" t="s">
        <v>77</v>
      </c>
    </row>
    <row r="27" spans="1:8" x14ac:dyDescent="0.25">
      <c r="A27">
        <v>8</v>
      </c>
      <c r="B27">
        <v>10</v>
      </c>
      <c r="C27" s="8" t="s">
        <v>26</v>
      </c>
      <c r="D27" s="2">
        <v>3.27</v>
      </c>
      <c r="E27" s="2">
        <f>D27*2</f>
        <v>6.54</v>
      </c>
      <c r="F27" t="s">
        <v>53</v>
      </c>
      <c r="H27" s="12" t="s">
        <v>78</v>
      </c>
    </row>
    <row r="28" spans="1:8" x14ac:dyDescent="0.25">
      <c r="A28">
        <v>2</v>
      </c>
      <c r="B28">
        <v>5</v>
      </c>
      <c r="C28" s="8" t="s">
        <v>27</v>
      </c>
      <c r="D28" s="2">
        <v>2.2400000000000002</v>
      </c>
      <c r="G28" s="13" t="s">
        <v>90</v>
      </c>
      <c r="H28" s="12" t="s">
        <v>79</v>
      </c>
    </row>
    <row r="29" spans="1:8" x14ac:dyDescent="0.25">
      <c r="A29">
        <v>6</v>
      </c>
      <c r="B29">
        <v>10</v>
      </c>
      <c r="C29" s="8" t="s">
        <v>28</v>
      </c>
      <c r="D29" s="2">
        <v>2.12</v>
      </c>
      <c r="E29" s="2">
        <f>D29*2</f>
        <v>4.24</v>
      </c>
      <c r="F29" t="s">
        <v>53</v>
      </c>
      <c r="H29" s="12" t="s">
        <v>80</v>
      </c>
    </row>
    <row r="30" spans="1:8" x14ac:dyDescent="0.25">
      <c r="A30">
        <v>1</v>
      </c>
      <c r="B30">
        <v>10</v>
      </c>
      <c r="C30" s="8" t="s">
        <v>29</v>
      </c>
      <c r="D30" s="2">
        <v>2.61</v>
      </c>
      <c r="H30" s="12" t="s">
        <v>81</v>
      </c>
    </row>
    <row r="31" spans="1:8" x14ac:dyDescent="0.25">
      <c r="A31">
        <v>2</v>
      </c>
      <c r="B31">
        <v>10</v>
      </c>
      <c r="C31" s="8" t="s">
        <v>30</v>
      </c>
      <c r="D31" s="2">
        <v>3.18</v>
      </c>
      <c r="H31" s="12" t="s">
        <v>82</v>
      </c>
    </row>
    <row r="32" spans="1:8" ht="30" x14ac:dyDescent="0.25">
      <c r="A32">
        <v>3</v>
      </c>
      <c r="B32">
        <v>3</v>
      </c>
      <c r="C32" s="8" t="s">
        <v>31</v>
      </c>
      <c r="D32" s="2">
        <v>2.33</v>
      </c>
      <c r="E32" s="2">
        <f>D32*3</f>
        <v>6.99</v>
      </c>
      <c r="F32" t="s">
        <v>53</v>
      </c>
      <c r="G32" s="13" t="s">
        <v>91</v>
      </c>
      <c r="H32" s="12" t="s">
        <v>83</v>
      </c>
    </row>
    <row r="33" spans="1:12" x14ac:dyDescent="0.25">
      <c r="A33">
        <v>3</v>
      </c>
      <c r="B33">
        <v>10</v>
      </c>
      <c r="C33" s="8" t="s">
        <v>32</v>
      </c>
      <c r="D33" s="2">
        <v>1.69</v>
      </c>
      <c r="H33" s="12" t="s">
        <v>97</v>
      </c>
    </row>
    <row r="34" spans="1:12" x14ac:dyDescent="0.25">
      <c r="A34">
        <v>3</v>
      </c>
      <c r="B34">
        <v>100</v>
      </c>
      <c r="C34" s="8" t="s">
        <v>33</v>
      </c>
      <c r="D34" s="2">
        <v>3.65</v>
      </c>
      <c r="H34" s="12" t="s">
        <v>96</v>
      </c>
    </row>
    <row r="35" spans="1:12" x14ac:dyDescent="0.25">
      <c r="A35">
        <v>1</v>
      </c>
      <c r="B35">
        <v>10</v>
      </c>
      <c r="C35" s="8" t="s">
        <v>34</v>
      </c>
      <c r="D35" s="2">
        <v>2.06</v>
      </c>
      <c r="H35" s="12" t="s">
        <v>94</v>
      </c>
    </row>
    <row r="36" spans="1:12" x14ac:dyDescent="0.25">
      <c r="A36">
        <v>1</v>
      </c>
      <c r="B36">
        <v>10</v>
      </c>
      <c r="C36" s="8" t="s">
        <v>35</v>
      </c>
      <c r="D36" s="2">
        <v>1.89</v>
      </c>
      <c r="H36" s="12" t="s">
        <v>95</v>
      </c>
    </row>
    <row r="37" spans="1:12" x14ac:dyDescent="0.25">
      <c r="A37">
        <v>44</v>
      </c>
      <c r="B37">
        <v>200</v>
      </c>
      <c r="C37" s="8" t="s">
        <v>36</v>
      </c>
      <c r="D37" s="2">
        <v>1.69</v>
      </c>
      <c r="H37" s="12" t="s">
        <v>84</v>
      </c>
    </row>
    <row r="38" spans="1:12" x14ac:dyDescent="0.25">
      <c r="A38">
        <v>8</v>
      </c>
      <c r="B38">
        <v>100</v>
      </c>
      <c r="C38" s="8" t="s">
        <v>37</v>
      </c>
      <c r="D38" s="2">
        <v>1.99</v>
      </c>
      <c r="H38" s="12" t="s">
        <v>85</v>
      </c>
    </row>
    <row r="39" spans="1:12" x14ac:dyDescent="0.25">
      <c r="A39">
        <v>12</v>
      </c>
      <c r="B39">
        <v>100</v>
      </c>
      <c r="C39" s="8" t="s">
        <v>38</v>
      </c>
      <c r="D39" s="2">
        <v>2.0299999999999998</v>
      </c>
      <c r="H39" s="12" t="s">
        <v>86</v>
      </c>
    </row>
    <row r="40" spans="1:12" x14ac:dyDescent="0.25">
      <c r="A40">
        <v>21</v>
      </c>
      <c r="B40">
        <v>100</v>
      </c>
      <c r="C40" s="8" t="s">
        <v>39</v>
      </c>
      <c r="D40" s="2">
        <v>1.99</v>
      </c>
      <c r="H40" s="12" t="s">
        <v>87</v>
      </c>
    </row>
    <row r="41" spans="1:12" x14ac:dyDescent="0.25">
      <c r="A41">
        <v>4</v>
      </c>
      <c r="C41" s="8" t="s">
        <v>40</v>
      </c>
      <c r="D41" s="2">
        <v>2.79</v>
      </c>
      <c r="H41" s="12" t="s">
        <v>88</v>
      </c>
    </row>
    <row r="42" spans="1:12" x14ac:dyDescent="0.25">
      <c r="C42" s="2" t="s">
        <v>41</v>
      </c>
      <c r="D42" s="2">
        <v>3.92</v>
      </c>
      <c r="I42" s="6"/>
      <c r="J42" s="6"/>
    </row>
    <row r="43" spans="1:12" x14ac:dyDescent="0.25">
      <c r="C43" s="2" t="s">
        <v>42</v>
      </c>
      <c r="D43" s="2">
        <v>3.92</v>
      </c>
      <c r="I43" s="2"/>
      <c r="J43" s="1"/>
      <c r="K43" s="6"/>
    </row>
    <row r="44" spans="1:12" x14ac:dyDescent="0.25">
      <c r="C44" s="2" t="s">
        <v>43</v>
      </c>
      <c r="D44" s="2">
        <v>3.92</v>
      </c>
      <c r="I44" s="2"/>
      <c r="J44" s="1"/>
    </row>
    <row r="45" spans="1:12" x14ac:dyDescent="0.25">
      <c r="C45" s="2" t="s">
        <v>46</v>
      </c>
      <c r="D45" s="2">
        <v>3.92</v>
      </c>
    </row>
    <row r="46" spans="1:12" x14ac:dyDescent="0.25">
      <c r="C46" s="2" t="s">
        <v>44</v>
      </c>
      <c r="D46" s="2">
        <v>3.92</v>
      </c>
    </row>
    <row r="47" spans="1:12" x14ac:dyDescent="0.25">
      <c r="C47" s="2" t="s">
        <v>45</v>
      </c>
      <c r="D47" s="2">
        <v>3.92</v>
      </c>
      <c r="I47" s="1"/>
      <c r="J47" s="1"/>
    </row>
    <row r="48" spans="1:12" x14ac:dyDescent="0.25">
      <c r="C48" s="2" t="s">
        <v>42</v>
      </c>
      <c r="D48" s="2">
        <v>3.92</v>
      </c>
      <c r="I48" s="1"/>
      <c r="J48" s="1"/>
      <c r="L48" s="1"/>
    </row>
    <row r="49" spans="4:9" x14ac:dyDescent="0.25">
      <c r="D49" t="s">
        <v>47</v>
      </c>
    </row>
    <row r="50" spans="4:9" x14ac:dyDescent="0.25">
      <c r="D50" s="2">
        <f>SUM(D42:D48)</f>
        <v>27.440000000000005</v>
      </c>
    </row>
    <row r="52" spans="4:9" x14ac:dyDescent="0.25">
      <c r="H52" t="s">
        <v>92</v>
      </c>
      <c r="I52" t="s">
        <v>93</v>
      </c>
    </row>
    <row r="53" spans="4:9" x14ac:dyDescent="0.25">
      <c r="F53" s="14">
        <v>101.21</v>
      </c>
      <c r="G53" s="13">
        <v>119.84</v>
      </c>
      <c r="H53">
        <f>SUM(C53:G53)</f>
        <v>221.05</v>
      </c>
      <c r="I53">
        <f>H53/4</f>
        <v>55.262500000000003</v>
      </c>
    </row>
    <row r="54" spans="4:9" x14ac:dyDescent="0.25">
      <c r="G54" s="13">
        <v>64.88</v>
      </c>
      <c r="H54">
        <f>F53+G54</f>
        <v>166.08999999999997</v>
      </c>
      <c r="I54">
        <f>H54/4</f>
        <v>41.522499999999994</v>
      </c>
    </row>
    <row r="55" spans="4:9" x14ac:dyDescent="0.25">
      <c r="I55">
        <f>I53-I54</f>
        <v>13.740000000000009</v>
      </c>
    </row>
  </sheetData>
  <hyperlinks>
    <hyperlink ref="H5" r:id="rId1" xr:uid="{D70F93C2-F8BD-48A0-92FE-6ACBC81742E5}"/>
    <hyperlink ref="H6" r:id="rId2" xr:uid="{9EA0CF83-B5EA-4107-82F9-19913CD17B37}"/>
    <hyperlink ref="H7" r:id="rId3" xr:uid="{E8719A4B-7462-4AB6-A852-6338E3EF4AEA}"/>
    <hyperlink ref="H8" r:id="rId4" xr:uid="{A20E0DCD-8C0C-4202-9746-BAAFC63FDA77}"/>
    <hyperlink ref="H9" r:id="rId5" xr:uid="{464A7B17-F860-43DC-8716-F0A5843B3999}"/>
    <hyperlink ref="H10" r:id="rId6" xr:uid="{D94C21B9-DF09-42E2-9484-51688B040058}"/>
    <hyperlink ref="H11" r:id="rId7" xr:uid="{77C204BB-3BC7-4C77-9E56-C36BAB535B07}"/>
    <hyperlink ref="H13" r:id="rId8" xr:uid="{718E4AE3-D893-4F8C-80B7-6DC3D4CFC52E}"/>
    <hyperlink ref="H14" r:id="rId9" xr:uid="{BED700B2-B80C-4056-804F-7DA7A071CBB1}"/>
    <hyperlink ref="H15" r:id="rId10" xr:uid="{AD9587E1-DD40-4539-BAA5-979D6F7823FB}"/>
    <hyperlink ref="H16" r:id="rId11" xr:uid="{D5166082-3D17-4926-B2B9-BDFF5D9F744B}"/>
    <hyperlink ref="H17" r:id="rId12" xr:uid="{7A0B83ED-5117-4DE9-AC6E-5E8AAC3251E2}"/>
    <hyperlink ref="H18" r:id="rId13" xr:uid="{FC598491-2BB5-43CB-92F6-5FA35438A798}"/>
    <hyperlink ref="H19" r:id="rId14" xr:uid="{4ACAB69F-F2C5-43F7-80A6-61E85AEF96AA}"/>
    <hyperlink ref="H20" r:id="rId15" xr:uid="{DB282381-7BBA-4497-A420-9758AAE0BBE3}"/>
    <hyperlink ref="H21" r:id="rId16" display="https://www.aliexpress.com/item/1005007097274626.html?spm=a2g0o.cart.0.0.6e0138da5NSQTm&amp;mp=1&amp;pdp_npi=6%40dis%21EUR%21EUR%201.82%21EUR%200.87%21%21EUR%200.87%21%21%21%402103834817725637465397157e5df9%2112000039392761876%21ct%21LT%21-1%21%211%210%21&amp;pdp_ext_f=%7B%22cart2PdpParams%22%3A%7B%22pdpBusinessMode%22%3A%22retail%22%7D%7D" xr:uid="{934FF083-9491-41EE-87CD-95A1A88C7131}"/>
    <hyperlink ref="H22" r:id="rId17" xr:uid="{30498FAE-1242-4AC8-93C4-0A19EEB347AD}"/>
    <hyperlink ref="H23" r:id="rId18" xr:uid="{59DB76C1-3269-4363-A1A5-E615E97319AA}"/>
    <hyperlink ref="H24" r:id="rId19" display="https://www.aliexpress.com/item/1005007320452170.html?spm=a2g0o.cart.0.0.6e0138daUthSNi&amp;mp=1&amp;pdp_npi=6%40dis%21EUR%21EUR%202.45%21EUR%200.87%21%21EUR%200.87%21%21%21%402103834817725638818603828e5df9%2112000040254474512%21ct%21LT%21-1%21%211%210%21&amp;pdp_ext_f=%7B%22cart2PdpParams%22%3A%7B%22pdpBusinessMode%22%3A%22retail%22%7D%7D" xr:uid="{F95F1FA6-60FB-402A-A27D-00E70A5A75B3}"/>
    <hyperlink ref="H25" r:id="rId20" display="https://www.aliexpress.com/item/1005004780911444.html?spm=a2g0o.cart.0.0.6e0138daVxHiuy&amp;mp=1&amp;pdp_npi=6%40dis%21EUR%21EUR%202.08%21EUR%200.87%21%21EUR%200.87%21%21%21%402103834817725639118854911e5df9%2112000030461342167%21ct%21LT%21-1%21%211%210%21&amp;pdp_ext_f=%7B%22cart2PdpParams%22%3A%7B%22pdpBusinessMode%22%3A%22retail%22%7D%7D" xr:uid="{A77494C0-C1A7-4ACE-B21B-59984CB73E16}"/>
    <hyperlink ref="H26" r:id="rId21" xr:uid="{35DB1F0D-2C5C-4A10-9557-DAFED2AB7DB8}"/>
    <hyperlink ref="H27" r:id="rId22" display="https://www.aliexpress.com/item/33042433139.html?spm=a2g0o.cart.0.0.6e0138dadJOLYq&amp;mp=1&amp;pdp_npi=6%40dis%21EUR%21EUR%203.32%21EUR%200.87%21%21EUR%200.87%21%21%21%402103834817725639947117933e5df9%2167331079067%21ct%21LT%21-1%21%211%210%21&amp;pdp_ext_f=%7B%22cart2PdpParams%22%3A%7B%22pdpBusinessMode%22%3A%22retail%22%7D%7D" xr:uid="{ACF0D85A-FE98-4113-9C00-CBFA86CA599E}"/>
    <hyperlink ref="H28" r:id="rId23" xr:uid="{FF03FA42-A2AE-4FF4-9858-F08F7331D056}"/>
    <hyperlink ref="H29" r:id="rId24" xr:uid="{D26E24AC-A103-4554-8E0C-C8DDF3986CD9}"/>
    <hyperlink ref="H30" r:id="rId25" xr:uid="{28816C89-FF1F-4161-BFF5-C2A78ABC06B6}"/>
    <hyperlink ref="H31" r:id="rId26" display="https://www.aliexpress.com/item/33021512063.html?spm=a2g0o.cart.0.0.6e0138daWeZXu2&amp;mp=1&amp;pdp_npi=6%40dis%21EUR%21EUR%203.23%21EUR%200.87%21%21EUR%200.87%21%21%21%402103834817725643513965561e5df9%2167275940002%21ct%21LT%21-1%21%211%210%21&amp;pdp_ext_f=%7B%22cart2PdpParams%22%3A%7B%22pdpBusinessMode%22%3A%22retail%22%7D%7D" xr:uid="{EE06BAC4-094A-49BC-AFE7-777AF16931F3}"/>
    <hyperlink ref="H32" r:id="rId27" xr:uid="{D32B6036-EF00-4C61-AFDE-FB7656C5A687}"/>
    <hyperlink ref="H37" r:id="rId28" xr:uid="{742BBBEF-9206-4C73-B27D-209363B53308}"/>
    <hyperlink ref="H38" r:id="rId29" xr:uid="{EB53592D-7BC6-4298-BD79-E0999E03D3D5}"/>
    <hyperlink ref="H39" r:id="rId30" xr:uid="{1C951342-2E30-402F-9775-F6A3F8AAAEFE}"/>
    <hyperlink ref="H40" r:id="rId31" xr:uid="{5B3CD7DA-5BF3-49AC-BBA7-166ED4494581}"/>
    <hyperlink ref="H41" r:id="rId32" xr:uid="{05745454-6CB8-4526-B6DA-8471C7854E99}"/>
    <hyperlink ref="H35" r:id="rId33" xr:uid="{09206789-0521-4BA7-9BC7-843C33623670}"/>
    <hyperlink ref="H36" r:id="rId34" xr:uid="{6C2FB9A0-9F9E-4D11-A223-5C6177C76444}"/>
    <hyperlink ref="H34" r:id="rId35" xr:uid="{954A9EF8-D064-4F09-948C-AC4F95A92062}"/>
    <hyperlink ref="H33" r:id="rId36" xr:uid="{5E2D95A4-667C-4543-8191-B8E697C7769E}"/>
  </hyperlinks>
  <pageMargins left="0.7" right="0.7" top="0.75" bottom="0.75" header="0.3" footer="0.3"/>
  <pageSetup paperSize="9" orientation="portrait" horizontalDpi="0" verticalDpi="0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Motiejaitis</dc:creator>
  <cp:lastModifiedBy>Rokas Baliutavičius</cp:lastModifiedBy>
  <dcterms:created xsi:type="dcterms:W3CDTF">2026-02-12T17:10:47Z</dcterms:created>
  <dcterms:modified xsi:type="dcterms:W3CDTF">2026-03-06T19:18:24Z</dcterms:modified>
</cp:coreProperties>
</file>